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Transactions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12">
    <font>
      <name val="Calibri"/>
      <family val="2"/>
      <color theme="1"/>
      <sz val="11"/>
      <scheme val="minor"/>
    </font>
    <font>
      <name val="Calibri"/>
      <b val="1"/>
      <color rgb="001F4E78"/>
      <sz val="18"/>
    </font>
    <font>
      <name val="Calibri"/>
      <i val="1"/>
      <sz val="11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9C0006"/>
      <sz val="11"/>
    </font>
    <font>
      <name val="Calibri"/>
      <b val="1"/>
      <color rgb="00FFFFFF"/>
      <sz val="11"/>
    </font>
    <font>
      <name val="Calibri"/>
      <color rgb="00FF0000"/>
    </font>
    <font>
      <name val="Calibri"/>
      <color rgb="00008000"/>
    </font>
    <font>
      <b val="1"/>
    </font>
    <font>
      <name val="Calibri"/>
      <b val="1"/>
      <color rgb="00006100"/>
    </font>
    <font>
      <name val="Calibri"/>
      <b val="1"/>
      <color rgb="009C0006"/>
    </font>
  </fonts>
  <fills count="7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thin">
        <color rgb="00A0A0A0"/>
      </top>
      <bottom style="double">
        <color rgb="001F4E78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left"/>
    </xf>
    <xf numFmtId="3" fontId="0" fillId="2" borderId="1" applyAlignment="1" pivotButton="0" quotePrefix="0" xfId="0">
      <alignment horizontal="right"/>
    </xf>
    <xf numFmtId="164" fontId="0" fillId="2" borderId="1" applyAlignment="1" pivotButton="0" quotePrefix="0" xfId="0">
      <alignment horizontal="right"/>
    </xf>
    <xf numFmtId="164" fontId="7" fillId="2" borderId="1" applyAlignment="1" pivotButton="0" quotePrefix="0" xfId="0">
      <alignment horizontal="right"/>
    </xf>
    <xf numFmtId="0" fontId="0" fillId="5" borderId="1" applyAlignment="1" pivotButton="0" quotePrefix="0" xfId="0">
      <alignment horizontal="left"/>
    </xf>
    <xf numFmtId="3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164" fontId="7" fillId="5" borderId="1" applyAlignment="1" pivotButton="0" quotePrefix="0" xfId="0">
      <alignment horizontal="right"/>
    </xf>
    <xf numFmtId="164" fontId="8" fillId="2" borderId="1" applyAlignment="1" pivotButton="0" quotePrefix="0" xfId="0">
      <alignment horizontal="right"/>
    </xf>
    <xf numFmtId="0" fontId="9" fillId="0" borderId="2" pivotButton="0" quotePrefix="0" xfId="0"/>
    <xf numFmtId="3" fontId="9" fillId="0" borderId="2" applyAlignment="1" pivotButton="0" quotePrefix="0" xfId="0">
      <alignment horizontal="right"/>
    </xf>
    <xf numFmtId="164" fontId="9" fillId="0" borderId="2" applyAlignment="1" pivotButton="0" quotePrefix="0" xfId="0">
      <alignment horizontal="right"/>
    </xf>
    <xf numFmtId="0" fontId="6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10" fillId="6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" pivotButton="0" quotePrefix="0" xfId="0"/>
    <xf numFmtId="164" fontId="11" fillId="3" borderId="1" applyAlignment="1" pivotButton="0" quotePrefix="0" xfId="0">
      <alignment horizontal="right"/>
    </xf>
    <xf numFmtId="0" fontId="1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  <col width="17" customWidth="1" min="4" max="4"/>
    <col width="18" customWidth="1" min="5" max="5"/>
    <col width="25" customWidth="1" min="6" max="6"/>
  </cols>
  <sheetData>
    <row r="1">
      <c r="A1" s="1" t="inlineStr">
        <is>
          <t>FINANCIAL STATEMENT ANALYSIS</t>
        </is>
      </c>
    </row>
    <row r="2">
      <c r="A2" s="2" t="inlineStr">
        <is>
          <t>Account Type: Asset (Checking/Savings)</t>
        </is>
      </c>
    </row>
    <row r="3"/>
    <row r="4">
      <c r="A4" s="3" t="inlineStr">
        <is>
          <t>Starting Balance</t>
        </is>
      </c>
      <c r="B4" s="3" t="inlineStr">
        <is>
          <t>Total Deposits (Credits)</t>
        </is>
      </c>
      <c r="C4" s="3" t="inlineStr">
        <is>
          <t>Total Withdrawals (Debits)</t>
        </is>
      </c>
      <c r="D4" s="3" t="inlineStr">
        <is>
          <t>Net Cash Flow</t>
        </is>
      </c>
      <c r="E4" s="3" t="inlineStr">
        <is>
          <t>Ending Balance</t>
        </is>
      </c>
      <c r="F4" s="3" t="inlineStr">
        <is>
          <t>Reconciliation Status</t>
        </is>
      </c>
    </row>
    <row r="5">
      <c r="A5" s="4" t="n">
        <v>1000</v>
      </c>
      <c r="B5" s="4" t="n">
        <v>1502.5</v>
      </c>
      <c r="C5" s="4" t="n">
        <v>230.5</v>
      </c>
      <c r="D5" s="4" t="n">
        <v>1272</v>
      </c>
      <c r="E5" s="4" t="n">
        <v>1987.5</v>
      </c>
      <c r="F5" s="5" t="inlineStr">
        <is>
          <t>MISMATCH (1 Err)</t>
        </is>
      </c>
    </row>
    <row r="6"/>
    <row r="7">
      <c r="A7" s="6" t="inlineStr">
        <is>
          <t>Category Summary Table</t>
        </is>
      </c>
    </row>
    <row r="8">
      <c r="A8" s="7" t="inlineStr">
        <is>
          <t>Category</t>
        </is>
      </c>
      <c r="B8" s="8" t="inlineStr">
        <is>
          <t>Transaction Count</t>
        </is>
      </c>
      <c r="C8" s="8" t="inlineStr">
        <is>
          <t>Debits (Out)</t>
        </is>
      </c>
      <c r="D8" s="8" t="inlineStr">
        <is>
          <t>Credits (In)</t>
        </is>
      </c>
      <c r="E8" s="8" t="inlineStr">
        <is>
          <t>Net Impact</t>
        </is>
      </c>
    </row>
    <row r="9">
      <c r="A9" s="9" t="inlineStr">
        <is>
          <t>Utilities</t>
        </is>
      </c>
      <c r="B9" s="10" t="n">
        <v>1</v>
      </c>
      <c r="C9" s="11" t="n">
        <v>120</v>
      </c>
      <c r="D9" s="11" t="n">
        <v>0</v>
      </c>
      <c r="E9" s="12" t="n">
        <v>-120</v>
      </c>
    </row>
    <row r="10">
      <c r="A10" s="13" t="inlineStr">
        <is>
          <t>Shopping/Retail</t>
        </is>
      </c>
      <c r="B10" s="14" t="n">
        <v>1</v>
      </c>
      <c r="C10" s="15" t="n">
        <v>50</v>
      </c>
      <c r="D10" s="15" t="n">
        <v>0</v>
      </c>
      <c r="E10" s="16" t="n">
        <v>-50</v>
      </c>
    </row>
    <row r="11">
      <c r="A11" s="9" t="inlineStr">
        <is>
          <t>Groceries</t>
        </is>
      </c>
      <c r="B11" s="10" t="n">
        <v>1</v>
      </c>
      <c r="C11" s="11" t="n">
        <v>45.5</v>
      </c>
      <c r="D11" s="11" t="n">
        <v>0</v>
      </c>
      <c r="E11" s="12" t="n">
        <v>-45.5</v>
      </c>
    </row>
    <row r="12">
      <c r="A12" s="13" t="inlineStr">
        <is>
          <t>Restaurants/Dining</t>
        </is>
      </c>
      <c r="B12" s="14" t="n">
        <v>1</v>
      </c>
      <c r="C12" s="15" t="n">
        <v>15</v>
      </c>
      <c r="D12" s="15" t="n">
        <v>0</v>
      </c>
      <c r="E12" s="16" t="n">
        <v>-15</v>
      </c>
    </row>
    <row r="13">
      <c r="A13" s="9" t="inlineStr">
        <is>
          <t>Income/Salary</t>
        </is>
      </c>
      <c r="B13" s="10" t="n">
        <v>2</v>
      </c>
      <c r="C13" s="11" t="n">
        <v>0</v>
      </c>
      <c r="D13" s="11" t="n">
        <v>1502.5</v>
      </c>
      <c r="E13" s="17" t="n">
        <v>1502.5</v>
      </c>
    </row>
    <row r="14">
      <c r="A14" s="13" t="inlineStr">
        <is>
          <t>Miscellaneous</t>
        </is>
      </c>
      <c r="B14" s="14" t="n">
        <v>1</v>
      </c>
      <c r="C14" s="15" t="n">
        <v>0</v>
      </c>
      <c r="D14" s="15" t="n">
        <v>0</v>
      </c>
      <c r="E14" s="15" t="n">
        <v>0</v>
      </c>
    </row>
    <row r="15">
      <c r="A15" s="18" t="inlineStr">
        <is>
          <t>Total</t>
        </is>
      </c>
      <c r="B15" s="19">
        <f>SUM(B9:B14)</f>
        <v/>
      </c>
      <c r="C15" s="20">
        <f>SUM(C9:C14)</f>
        <v/>
      </c>
      <c r="D15" s="20">
        <f>SUM(D9:D14)</f>
        <v/>
      </c>
      <c r="E15" s="20">
        <f>D15-C15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1" customWidth="1" min="3" max="3"/>
    <col width="23" customWidth="1" min="4" max="4"/>
    <col width="21" customWidth="1" min="5" max="5"/>
    <col width="20" customWidth="1" min="6" max="6"/>
    <col width="19" customWidth="1" min="7" max="7"/>
    <col width="14" customWidth="1" min="8" max="8"/>
    <col width="11" customWidth="1" min="9" max="9"/>
  </cols>
  <sheetData>
    <row r="1">
      <c r="A1" s="21" t="inlineStr">
        <is>
          <t>Date</t>
        </is>
      </c>
      <c r="B1" s="7" t="inlineStr">
        <is>
          <t>Description</t>
        </is>
      </c>
      <c r="C1" s="7" t="inlineStr">
        <is>
          <t>Category</t>
        </is>
      </c>
      <c r="D1" s="8" t="inlineStr">
        <is>
          <t>Withdrawals (Debits)</t>
        </is>
      </c>
      <c r="E1" s="8" t="inlineStr">
        <is>
          <t>Deposits (Credits)</t>
        </is>
      </c>
      <c r="F1" s="8" t="inlineStr">
        <is>
          <t>Statement Balance</t>
        </is>
      </c>
      <c r="G1" s="8" t="inlineStr">
        <is>
          <t>Expected Balance</t>
        </is>
      </c>
      <c r="H1" s="8" t="inlineStr">
        <is>
          <t>Discrepancy</t>
        </is>
      </c>
      <c r="I1" s="21" t="inlineStr">
        <is>
          <t>Status</t>
        </is>
      </c>
    </row>
    <row r="2">
      <c r="A2" s="22" t="inlineStr">
        <is>
          <t>2026-06-01</t>
        </is>
      </c>
      <c r="B2" s="23" t="inlineStr">
        <is>
          <t>Starting Balance Forward</t>
        </is>
      </c>
      <c r="C2" s="23" t="inlineStr">
        <is>
          <t>Miscellaneous</t>
        </is>
      </c>
      <c r="D2" s="24" t="n">
        <v>0</v>
      </c>
      <c r="E2" s="24" t="n">
        <v>0</v>
      </c>
      <c r="F2" s="24" t="n">
        <v>1000</v>
      </c>
      <c r="G2" s="24" t="n">
        <v>1000</v>
      </c>
      <c r="H2" s="24" t="n">
        <v>0</v>
      </c>
      <c r="I2" s="25" t="inlineStr">
        <is>
          <t>OK</t>
        </is>
      </c>
    </row>
    <row r="3">
      <c r="A3" s="26" t="inlineStr">
        <is>
          <t>2026-06-02</t>
        </is>
      </c>
      <c r="B3" s="27" t="inlineStr">
        <is>
          <t>GROCERY STORE SAFEWAY</t>
        </is>
      </c>
      <c r="C3" s="27" t="inlineStr">
        <is>
          <t>Groceries</t>
        </is>
      </c>
      <c r="D3" s="11" t="n">
        <v>45.5</v>
      </c>
      <c r="E3" s="11" t="n">
        <v>0</v>
      </c>
      <c r="F3" s="11" t="n">
        <v>954.5</v>
      </c>
      <c r="G3" s="11" t="n">
        <v>954.5</v>
      </c>
      <c r="H3" s="11" t="n">
        <v>0</v>
      </c>
      <c r="I3" s="25" t="inlineStr">
        <is>
          <t>OK</t>
        </is>
      </c>
    </row>
    <row r="4">
      <c r="A4" s="22" t="inlineStr">
        <is>
          <t>2026-06-03</t>
        </is>
      </c>
      <c r="B4" s="23" t="inlineStr">
        <is>
          <t>DIRECT DEP PAYROLL Company ID: 99882233</t>
        </is>
      </c>
      <c r="C4" s="23" t="inlineStr">
        <is>
          <t>Income/Salary</t>
        </is>
      </c>
      <c r="D4" s="24" t="n">
        <v>0</v>
      </c>
      <c r="E4" s="24" t="n">
        <v>1500</v>
      </c>
      <c r="F4" s="24" t="n">
        <v>2454.5</v>
      </c>
      <c r="G4" s="24" t="n">
        <v>2454.5</v>
      </c>
      <c r="H4" s="24" t="n">
        <v>0</v>
      </c>
      <c r="I4" s="25" t="inlineStr">
        <is>
          <t>OK</t>
        </is>
      </c>
    </row>
    <row r="5">
      <c r="A5" s="26" t="inlineStr">
        <is>
          <t>2026-06-05</t>
        </is>
      </c>
      <c r="B5" s="27" t="inlineStr">
        <is>
          <t>ELECTRIC UTILITY COMCAST PAGE 2 OF 3</t>
        </is>
      </c>
      <c r="C5" s="27" t="inlineStr">
        <is>
          <t>Utilities</t>
        </is>
      </c>
      <c r="D5" s="11" t="n">
        <v>120</v>
      </c>
      <c r="E5" s="11" t="n">
        <v>0</v>
      </c>
      <c r="F5" s="11" t="n">
        <v>2334.5</v>
      </c>
      <c r="G5" s="11" t="n">
        <v>2334.5</v>
      </c>
      <c r="H5" s="11" t="n">
        <v>0</v>
      </c>
      <c r="I5" s="25" t="inlineStr">
        <is>
          <t>OK</t>
        </is>
      </c>
    </row>
    <row r="6">
      <c r="A6" s="22" t="inlineStr">
        <is>
          <t>2026-06-10</t>
        </is>
      </c>
      <c r="B6" s="23" t="inlineStr">
        <is>
          <t>RETAIL PURCHASE AMAZON</t>
        </is>
      </c>
      <c r="C6" s="23" t="inlineStr">
        <is>
          <t>Shopping/Retail</t>
        </is>
      </c>
      <c r="D6" s="24" t="n">
        <v>50</v>
      </c>
      <c r="E6" s="24" t="n">
        <v>0</v>
      </c>
      <c r="F6" s="24" t="n">
        <v>2000</v>
      </c>
      <c r="G6" s="24" t="n">
        <v>2000</v>
      </c>
      <c r="H6" s="28" t="n">
        <v>-284.5</v>
      </c>
      <c r="I6" s="29" t="inlineStr">
        <is>
          <t>MISMATCH</t>
        </is>
      </c>
    </row>
    <row r="7">
      <c r="A7" s="26" t="inlineStr">
        <is>
          <t>2026-06-12</t>
        </is>
      </c>
      <c r="B7" s="27" t="inlineStr">
        <is>
          <t>DINING OUT CAFE</t>
        </is>
      </c>
      <c r="C7" s="27" t="inlineStr">
        <is>
          <t>Restaurants/Dining</t>
        </is>
      </c>
      <c r="D7" s="11" t="n">
        <v>15</v>
      </c>
      <c r="E7" s="11" t="n">
        <v>0</v>
      </c>
      <c r="F7" s="11" t="n">
        <v>1985</v>
      </c>
      <c r="G7" s="11" t="n">
        <v>1985</v>
      </c>
      <c r="H7" s="11" t="n">
        <v>0</v>
      </c>
      <c r="I7" s="25" t="inlineStr">
        <is>
          <t>OK</t>
        </is>
      </c>
    </row>
    <row r="8">
      <c r="A8" s="22" t="inlineStr">
        <is>
          <t>2026-06-15</t>
        </is>
      </c>
      <c r="B8" s="23" t="inlineStr">
        <is>
          <t>INTEREST PAYMENT</t>
        </is>
      </c>
      <c r="C8" s="23" t="inlineStr">
        <is>
          <t>Income/Salary</t>
        </is>
      </c>
      <c r="D8" s="24" t="n">
        <v>0</v>
      </c>
      <c r="E8" s="24" t="n">
        <v>2.5</v>
      </c>
      <c r="F8" s="24" t="n">
        <v>1987.5</v>
      </c>
      <c r="G8" s="24" t="n">
        <v>1987.5</v>
      </c>
      <c r="H8" s="24" t="n">
        <v>0</v>
      </c>
      <c r="I8" s="2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2026-06-23T12:58:23Z</dcterms:created>
  <dcterms:modified xsi:type="dcterms:W3CDTF">2026-06-23T12:58:23Z</dcterms:modified>
</cp:coreProperties>
</file>